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ina\Documents\Cursos Marina\Curso Excel\"/>
    </mc:Choice>
  </mc:AlternateContent>
  <bookViews>
    <workbookView xWindow="0" yWindow="0" windowWidth="20490" windowHeight="7755" tabRatio="33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52511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24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<sst xmlns="http://schemas.openxmlformats.org/spreadsheetml/2006/main" count="2017" uniqueCount="319">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</sst>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4" fillId="0" borderId="2" xfId="1" applyFont="1" applyBorder="1"/>
    <xf numFmtId="44" fontId="0" fillId="0" borderId="0" xfId="2" applyFont="1"/>
    <xf numFmtId="0" fontId="5" fillId="0" borderId="2" xfId="1" applyFont="1" applyBorder="1" applyAlignment="1">
      <alignment horizontal="left" indent="4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fill>
        <patternFill>
          <bgColor rgb="FF22C55E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9280001816821706E-2"/>
          <c:y val="1.7318343998852757E-2"/>
          <c:w val="0.78548522903308615"/>
          <c:h val="0.92125696649829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5279520"/>
        <c:axId val="1475271360"/>
      </c:barChart>
      <c:catAx>
        <c:axId val="147527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5271360"/>
        <c:crosses val="autoZero"/>
        <c:auto val="1"/>
        <c:lblAlgn val="ctr"/>
        <c:lblOffset val="100"/>
        <c:noMultiLvlLbl val="0"/>
      </c:catAx>
      <c:valAx>
        <c:axId val="14752713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752795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9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187547</xdr:colOff>
      <xdr:row>0</xdr:row>
      <xdr:rowOff>27215</xdr:rowOff>
    </xdr:from>
    <xdr:to>
      <xdr:col>2</xdr:col>
      <xdr:colOff>456433</xdr:colOff>
      <xdr:row>2</xdr:row>
      <xdr:rowOff>145456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5" r="71939"/>
        <a:stretch/>
      </xdr:blipFill>
      <xdr:spPr>
        <a:xfrm>
          <a:off x="2936190" y="27215"/>
          <a:ext cx="541029" cy="621705"/>
        </a:xfrm>
        <a:prstGeom prst="rect">
          <a:avLst/>
        </a:prstGeom>
      </xdr:spPr>
    </xdr:pic>
    <xdr:clientData/>
  </xdr:twoCellAnchor>
  <xdr:twoCellAnchor editAs="absolute">
    <xdr:from>
      <xdr:col>0</xdr:col>
      <xdr:colOff>108959</xdr:colOff>
      <xdr:row>7</xdr:row>
      <xdr:rowOff>272142</xdr:rowOff>
    </xdr:from>
    <xdr:to>
      <xdr:col>0</xdr:col>
      <xdr:colOff>2689412</xdr:colOff>
      <xdr:row>30</xdr:row>
      <xdr:rowOff>134677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959" y="1918606"/>
              <a:ext cx="2580453" cy="417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389805</xdr:colOff>
      <xdr:row>5</xdr:row>
      <xdr:rowOff>20619</xdr:rowOff>
    </xdr:from>
    <xdr:to>
      <xdr:col>10</xdr:col>
      <xdr:colOff>126367</xdr:colOff>
      <xdr:row>14</xdr:row>
      <xdr:rowOff>49665</xdr:rowOff>
    </xdr:to>
    <xdr:grpSp>
      <xdr:nvGrpSpPr>
        <xdr:cNvPr id="11" name="Grupo 10"/>
        <xdr:cNvGrpSpPr/>
      </xdr:nvGrpSpPr>
      <xdr:grpSpPr>
        <a:xfrm>
          <a:off x="3410591" y="1408548"/>
          <a:ext cx="5179419" cy="1770760"/>
          <a:chOff x="2377168" y="1426919"/>
          <a:chExt cx="5220721" cy="1783006"/>
        </a:xfrm>
      </xdr:grpSpPr>
      <xdr:sp macro="" textlink="">
        <xdr:nvSpPr>
          <xdr:cNvPr id="7" name="Retângulo de cantos arredondados 6"/>
          <xdr:cNvSpPr/>
        </xdr:nvSpPr>
        <xdr:spPr>
          <a:xfrm>
            <a:off x="2378868" y="1485900"/>
            <a:ext cx="5217319" cy="1724025"/>
          </a:xfrm>
          <a:prstGeom prst="roundRect">
            <a:avLst>
              <a:gd name="adj" fmla="val 705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8" name="Retângulo de cantos arredondados 7"/>
          <xdr:cNvSpPr/>
        </xdr:nvSpPr>
        <xdr:spPr>
          <a:xfrm>
            <a:off x="3483111" y="1982554"/>
            <a:ext cx="3994014" cy="1130930"/>
          </a:xfrm>
          <a:prstGeom prst="roundRect">
            <a:avLst>
              <a:gd name="adj" fmla="val 7052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C8A34D1-5BD2-4EA3-AFA6-588090E5998C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R$ 990,00 </a:t>
            </a:fld>
            <a:endParaRPr lang="pt-BR" sz="3600" b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xmlns="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97684" y="1986127"/>
            <a:ext cx="1362075" cy="1161885"/>
          </a:xfrm>
          <a:prstGeom prst="rect">
            <a:avLst/>
          </a:prstGeom>
        </xdr:spPr>
      </xdr:pic>
      <xdr:sp macro="" textlink="">
        <xdr:nvSpPr>
          <xdr:cNvPr id="10" name="Arredondar Retângulo no Mesmo Canto Lateral 9"/>
          <xdr:cNvSpPr/>
        </xdr:nvSpPr>
        <xdr:spPr>
          <a:xfrm>
            <a:off x="2377168" y="1426919"/>
            <a:ext cx="5220721" cy="57626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12</xdr:col>
      <xdr:colOff>130468</xdr:colOff>
      <xdr:row>5</xdr:row>
      <xdr:rowOff>20619</xdr:rowOff>
    </xdr:from>
    <xdr:to>
      <xdr:col>19</xdr:col>
      <xdr:colOff>550029</xdr:colOff>
      <xdr:row>14</xdr:row>
      <xdr:rowOff>49665</xdr:rowOff>
    </xdr:to>
    <xdr:grpSp>
      <xdr:nvGrpSpPr>
        <xdr:cNvPr id="24" name="Grupo 23"/>
        <xdr:cNvGrpSpPr/>
      </xdr:nvGrpSpPr>
      <xdr:grpSpPr>
        <a:xfrm>
          <a:off x="9777932" y="1408548"/>
          <a:ext cx="5182061" cy="1770760"/>
          <a:chOff x="8681357" y="1417394"/>
          <a:chExt cx="5181261" cy="1770760"/>
        </a:xfrm>
      </xdr:grpSpPr>
      <xdr:grpSp>
        <xdr:nvGrpSpPr>
          <xdr:cNvPr id="12" name="Grupo 11"/>
          <xdr:cNvGrpSpPr/>
        </xdr:nvGrpSpPr>
        <xdr:grpSpPr>
          <a:xfrm>
            <a:off x="8681357" y="1417394"/>
            <a:ext cx="5181261" cy="1770760"/>
            <a:chOff x="2377168" y="1426919"/>
            <a:chExt cx="5220721" cy="1783006"/>
          </a:xfrm>
        </xdr:grpSpPr>
        <xdr:sp macro="" textlink="">
          <xdr:nvSpPr>
            <xdr:cNvPr id="13" name="Retângulo de cantos arredondados 12"/>
            <xdr:cNvSpPr/>
          </xdr:nvSpPr>
          <xdr:spPr>
            <a:xfrm>
              <a:off x="2378868" y="1485900"/>
              <a:ext cx="5217319" cy="1724025"/>
            </a:xfrm>
            <a:prstGeom prst="roundRect">
              <a:avLst>
                <a:gd name="adj" fmla="val 705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5">
          <xdr:nvSpPr>
            <xdr:cNvPr id="14" name="Retângulo de cantos arredondados 13"/>
            <xdr:cNvSpPr/>
          </xdr:nvSpPr>
          <xdr:spPr>
            <a:xfrm>
              <a:off x="3469400" y="1941449"/>
              <a:ext cx="3994014" cy="1130930"/>
            </a:xfrm>
            <a:prstGeom prst="roundRect">
              <a:avLst>
                <a:gd name="adj" fmla="val 7052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3F56D4E-30CA-40C8-AA8A-B9BE9CB57236}" type="TxLink">
                <a:rPr lang="en-US" sz="36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R$ 1.140,00 </a:t>
              </a:fld>
              <a:endParaRPr lang="pt-BR" sz="3600" b="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Arredondar Retângulo no Mesmo Canto Lateral 15"/>
            <xdr:cNvSpPr/>
          </xdr:nvSpPr>
          <xdr:spPr>
            <a:xfrm>
              <a:off x="2377168" y="1426919"/>
              <a:ext cx="5220721" cy="57626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2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1" name="Agrupar 16">
            <a:extLst>
              <a:ext uri="{FF2B5EF4-FFF2-40B4-BE49-F238E27FC236}">
                <a16:creationId xmlns:a16="http://schemas.microsoft.com/office/drawing/2014/main" xmlns="" id="{A71E6AF1-ADEE-EB3B-0380-7B4EF5640C97}"/>
              </a:ext>
            </a:extLst>
          </xdr:cNvPr>
          <xdr:cNvGrpSpPr/>
        </xdr:nvGrpSpPr>
        <xdr:grpSpPr>
          <a:xfrm>
            <a:off x="8885464" y="2109107"/>
            <a:ext cx="1469572" cy="762000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xmlns="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13">
              <a:extLst>
                <a:ext uri="{FF2B5EF4-FFF2-40B4-BE49-F238E27FC236}">
                  <a16:creationId xmlns:a16="http://schemas.microsoft.com/office/drawing/2014/main" xmlns="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403412</xdr:colOff>
      <xdr:row>15</xdr:row>
      <xdr:rowOff>68036</xdr:rowOff>
    </xdr:from>
    <xdr:to>
      <xdr:col>19</xdr:col>
      <xdr:colOff>622363</xdr:colOff>
      <xdr:row>33</xdr:row>
      <xdr:rowOff>122464</xdr:rowOff>
    </xdr:to>
    <xdr:grpSp>
      <xdr:nvGrpSpPr>
        <xdr:cNvPr id="26" name="Grupo 25"/>
        <xdr:cNvGrpSpPr/>
      </xdr:nvGrpSpPr>
      <xdr:grpSpPr>
        <a:xfrm>
          <a:off x="3424198" y="3374572"/>
          <a:ext cx="11608129" cy="3238499"/>
          <a:chOff x="2326822" y="3388179"/>
          <a:chExt cx="11593285" cy="4082143"/>
        </a:xfrm>
      </xdr:grpSpPr>
      <xdr:grpSp>
        <xdr:nvGrpSpPr>
          <xdr:cNvPr id="6" name="Grupo 5"/>
          <xdr:cNvGrpSpPr/>
        </xdr:nvGrpSpPr>
        <xdr:grpSpPr>
          <a:xfrm>
            <a:off x="2340430" y="3398385"/>
            <a:ext cx="11566069" cy="4071937"/>
            <a:chOff x="2583656" y="1571626"/>
            <a:chExt cx="5172604" cy="3060521"/>
          </a:xfrm>
        </xdr:grpSpPr>
        <xdr:sp macro="" textlink="">
          <xdr:nvSpPr>
            <xdr:cNvPr id="5" name="Retângulo de cantos arredondados 4"/>
            <xdr:cNvSpPr/>
          </xdr:nvSpPr>
          <xdr:spPr>
            <a:xfrm>
              <a:off x="2583656" y="1571626"/>
              <a:ext cx="5167314" cy="3060521"/>
            </a:xfrm>
            <a:prstGeom prst="roundRect">
              <a:avLst>
                <a:gd name="adj" fmla="val 636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2650594" y="2125088"/>
            <a:ext cx="5105666" cy="245287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5" name="Arredondar Retângulo no Mesmo Canto Lateral 24"/>
          <xdr:cNvSpPr/>
        </xdr:nvSpPr>
        <xdr:spPr>
          <a:xfrm>
            <a:off x="2326822" y="3388179"/>
            <a:ext cx="11593285" cy="57230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1020536</xdr:colOff>
      <xdr:row>1</xdr:row>
      <xdr:rowOff>95250</xdr:rowOff>
    </xdr:from>
    <xdr:to>
      <xdr:col>0</xdr:col>
      <xdr:colOff>1973036</xdr:colOff>
      <xdr:row>3</xdr:row>
      <xdr:rowOff>190501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1020536" y="272143"/>
          <a:ext cx="952500" cy="721179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217715</xdr:colOff>
      <xdr:row>5</xdr:row>
      <xdr:rowOff>13607</xdr:rowOff>
    </xdr:from>
    <xdr:to>
      <xdr:col>0</xdr:col>
      <xdr:colOff>2622176</xdr:colOff>
      <xdr:row>7</xdr:row>
      <xdr:rowOff>122464</xdr:rowOff>
    </xdr:to>
    <xdr:sp macro="" textlink="">
      <xdr:nvSpPr>
        <xdr:cNvPr id="28" name="Retângulo de cantos arredondados 27"/>
        <xdr:cNvSpPr/>
      </xdr:nvSpPr>
      <xdr:spPr>
        <a:xfrm>
          <a:off x="217715" y="1403136"/>
          <a:ext cx="2404461" cy="366593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BEM VINDA LIANA</a:t>
          </a:r>
        </a:p>
      </xdr:txBody>
    </xdr:sp>
    <xdr:clientData/>
  </xdr:twoCellAnchor>
  <xdr:twoCellAnchor editAs="absolute">
    <xdr:from>
      <xdr:col>2</xdr:col>
      <xdr:colOff>378919</xdr:colOff>
      <xdr:row>3</xdr:row>
      <xdr:rowOff>29937</xdr:rowOff>
    </xdr:from>
    <xdr:to>
      <xdr:col>13</xdr:col>
      <xdr:colOff>362590</xdr:colOff>
      <xdr:row>4</xdr:row>
      <xdr:rowOff>27215</xdr:rowOff>
    </xdr:to>
    <xdr:sp macro="" textlink="">
      <xdr:nvSpPr>
        <xdr:cNvPr id="31" name="Retângulo de cantos arredondados 30"/>
        <xdr:cNvSpPr/>
      </xdr:nvSpPr>
      <xdr:spPr>
        <a:xfrm>
          <a:off x="3390900" y="832758"/>
          <a:ext cx="7290707" cy="48713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2">
                  <a:lumMod val="75000"/>
                </a:schemeClr>
              </a:solidFill>
            </a:rPr>
            <a:t>CALCULATION</a:t>
          </a:r>
          <a:r>
            <a:rPr lang="pt-BR" sz="1200" b="1" baseline="0">
              <a:solidFill>
                <a:schemeClr val="bg2">
                  <a:lumMod val="75000"/>
                </a:schemeClr>
              </a:solidFill>
            </a:rPr>
            <a:t> PERIOD</a:t>
          </a:r>
          <a:r>
            <a:rPr lang="pt-BR" sz="1200" b="1">
              <a:solidFill>
                <a:schemeClr val="bg2">
                  <a:lumMod val="75000"/>
                </a:schemeClr>
              </a:solidFill>
            </a:rPr>
            <a:t>:01/01/2026</a:t>
          </a:r>
          <a:r>
            <a:rPr lang="pt-BR" sz="1200" b="1" baseline="0">
              <a:solidFill>
                <a:schemeClr val="bg2">
                  <a:lumMod val="75000"/>
                </a:schemeClr>
              </a:solidFill>
            </a:rPr>
            <a:t> - 31/12/2025 | UPDATE DATE: 15/02/2026 16:27:00</a:t>
          </a:r>
          <a:r>
            <a:rPr lang="pt-BR" sz="1200" b="1">
              <a:solidFill>
                <a:schemeClr val="bg2">
                  <a:lumMod val="75000"/>
                </a:schemeClr>
              </a:solidFill>
            </a:rPr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ina" refreshedDate="46037.591615509256" createdVersion="5" refreshedVersion="5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7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onpass_total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7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8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6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onpass_total"/>
    <pivotTable tabId="3" name="Tabela dinâmica3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15">
  <autoFilter ref="A1:M296">
    <filterColumn colId="7">
      <filters>
        <filter val="Yes"/>
      </filters>
    </filterColumn>
  </autoFilter>
  <tableColumns count="13">
    <tableColumn id="1" name="Subscriber ID" dataDxfId="14"/>
    <tableColumn id="2" name="Name" dataDxfId="13"/>
    <tableColumn id="3" name="Plan" dataDxfId="12"/>
    <tableColumn id="4" name="Start Date" dataDxfId="11"/>
    <tableColumn id="5" name="Auto Renewal" dataDxfId="10"/>
    <tableColumn id="6" name="Subscription Price" dataDxfId="9" dataCellStyle="Moeda"/>
    <tableColumn id="7" name="Subscription Type" dataDxfId="8"/>
    <tableColumn id="8" name="EA Play Season Pass" dataDxfId="7"/>
    <tableColumn id="13" name="EA Play Season Pass_x000a_Price" dataDxfId="6" dataCellStyle="Moeda"/>
    <tableColumn id="9" name="Minecraft Season Pass" dataDxfId="5"/>
    <tableColumn id="10" name="Minecraft Season Pass Price" dataDxfId="4" dataCellStyle="Moeda"/>
    <tableColumn id="11" name="Coupon Value" dataDxfId="3" dataCellStyle="Moeda"/>
    <tableColumn id="12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7" zoomScaleNormal="100" workbookViewId="0">
      <selection activeCell="F26" sqref="F2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A2" zoomScale="90" zoomScaleNormal="90" workbookViewId="0">
      <selection activeCell="F26" sqref="F2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6:E36"/>
  <sheetViews>
    <sheetView showGridLines="0" topLeftCell="A16" workbookViewId="0">
      <selection activeCell="F26" sqref="F26"/>
    </sheetView>
  </sheetViews>
  <sheetFormatPr defaultRowHeight="14.25"/>
  <cols>
    <col min="2" max="2" width="18" customWidth="1"/>
    <col min="3" max="3" width="35.125" customWidth="1"/>
    <col min="4" max="4" width="30.625" bestFit="1" customWidth="1"/>
    <col min="5" max="5" width="13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6" spans="2:3">
      <c r="B6" s="12" t="s">
        <v>16</v>
      </c>
      <c r="C6" t="s">
        <v>27</v>
      </c>
    </row>
    <row r="8" spans="2:3">
      <c r="B8" s="12" t="s">
        <v>313</v>
      </c>
      <c r="C8" t="s">
        <v>315</v>
      </c>
    </row>
    <row r="9" spans="2:3">
      <c r="B9" s="13" t="s">
        <v>23</v>
      </c>
      <c r="C9" s="15">
        <v>806</v>
      </c>
    </row>
    <row r="10" spans="2:3">
      <c r="B10" s="13" t="s">
        <v>19</v>
      </c>
      <c r="C10" s="15">
        <v>1502</v>
      </c>
    </row>
    <row r="11" spans="2:3">
      <c r="B11" s="13" t="s">
        <v>314</v>
      </c>
      <c r="C11" s="15">
        <v>2308</v>
      </c>
    </row>
    <row r="19" spans="2:5">
      <c r="B19" s="12" t="s">
        <v>16</v>
      </c>
      <c r="C19" t="s">
        <v>27</v>
      </c>
    </row>
    <row r="21" spans="2:5">
      <c r="B21" s="12" t="s">
        <v>313</v>
      </c>
      <c r="C21" t="s">
        <v>317</v>
      </c>
    </row>
    <row r="22" spans="2:5">
      <c r="B22" s="13" t="s">
        <v>22</v>
      </c>
      <c r="C22" s="14">
        <v>0</v>
      </c>
    </row>
    <row r="23" spans="2:5">
      <c r="B23" s="13" t="s">
        <v>26</v>
      </c>
      <c r="C23" s="14">
        <v>0</v>
      </c>
    </row>
    <row r="24" spans="2:5">
      <c r="B24" s="13" t="s">
        <v>18</v>
      </c>
      <c r="C24" s="14">
        <v>990</v>
      </c>
      <c r="E24" s="17">
        <f>GETPIVOTDATA("EA Play Season Pass
Price",$B$21)</f>
        <v>990</v>
      </c>
    </row>
    <row r="25" spans="2:5">
      <c r="B25" s="13" t="s">
        <v>314</v>
      </c>
      <c r="C25" s="14">
        <v>990</v>
      </c>
    </row>
    <row r="30" spans="2:5">
      <c r="B30" s="12" t="s">
        <v>16</v>
      </c>
      <c r="C30" t="s">
        <v>27</v>
      </c>
    </row>
    <row r="32" spans="2:5">
      <c r="B32" s="12" t="s">
        <v>313</v>
      </c>
      <c r="C32" t="s">
        <v>318</v>
      </c>
    </row>
    <row r="33" spans="2:5">
      <c r="B33" s="13" t="s">
        <v>22</v>
      </c>
      <c r="C33" s="14">
        <v>0</v>
      </c>
    </row>
    <row r="34" spans="2:5">
      <c r="B34" s="13" t="s">
        <v>26</v>
      </c>
      <c r="C34" s="14">
        <v>480</v>
      </c>
    </row>
    <row r="35" spans="2:5">
      <c r="B35" s="13" t="s">
        <v>18</v>
      </c>
      <c r="C35" s="14">
        <v>660</v>
      </c>
      <c r="E35" s="17">
        <f>GETPIVOTDATA("Minecraft Season Pass Price",$B$32)</f>
        <v>1140</v>
      </c>
    </row>
    <row r="36" spans="2:5">
      <c r="B36" s="13" t="s">
        <v>314</v>
      </c>
      <c r="C36" s="14"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90"/>
  <sheetViews>
    <sheetView showGridLines="0" showRowColHeaders="0" tabSelected="1" zoomScale="70" zoomScaleNormal="70" workbookViewId="0">
      <selection activeCell="W17" sqref="W17"/>
    </sheetView>
  </sheetViews>
  <sheetFormatPr defaultRowHeight="14.25"/>
  <cols>
    <col min="1" max="1" width="36" style="4" customWidth="1"/>
    <col min="2" max="2" width="3.625" customWidth="1"/>
    <col min="12" max="12" width="6.625" customWidth="1"/>
  </cols>
  <sheetData>
    <row r="2" spans="1:17" ht="25.5" customHeight="1" thickBot="1">
      <c r="C2" s="18" t="s">
        <v>316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23.25" customHeight="1" thickTop="1"/>
    <row r="4" spans="1:17" s="7" customFormat="1" ht="39" customHeight="1">
      <c r="A4" s="4"/>
    </row>
    <row r="5" spans="1:17" s="7" customFormat="1" ht="7.5" customHeight="1">
      <c r="A5" s="4"/>
    </row>
    <row r="6" spans="1:17" s="7" customFormat="1" ht="10.5" customHeight="1">
      <c r="A6" s="4"/>
    </row>
    <row r="7" spans="1:17" s="7" customFormat="1" ht="9.75" customHeight="1">
      <c r="A7" s="4"/>
    </row>
    <row r="8" spans="1:17" s="7" customFormat="1" ht="33" customHeight="1">
      <c r="A8" s="4"/>
    </row>
    <row r="9" spans="1:17" s="7" customFormat="1">
      <c r="A9" s="4"/>
    </row>
    <row r="10" spans="1:17" s="7" customFormat="1">
      <c r="A10" s="4"/>
    </row>
    <row r="11" spans="1:17" s="7" customFormat="1">
      <c r="A11" s="4"/>
    </row>
    <row r="12" spans="1:17" s="7" customFormat="1">
      <c r="A12" s="4"/>
    </row>
    <row r="13" spans="1:17" s="7" customFormat="1">
      <c r="A13" s="4"/>
    </row>
    <row r="14" spans="1:17" s="7" customFormat="1">
      <c r="A14" s="4"/>
    </row>
    <row r="15" spans="1:17" s="7" customFormat="1">
      <c r="A15" s="4"/>
    </row>
    <row r="16" spans="1:17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  <row r="306" spans="1:1" s="7" customFormat="1">
      <c r="A306" s="4"/>
    </row>
    <row r="307" spans="1:1" s="7" customFormat="1">
      <c r="A307" s="4"/>
    </row>
    <row r="308" spans="1:1" s="7" customFormat="1">
      <c r="A308" s="4"/>
    </row>
    <row r="309" spans="1:1" s="7" customFormat="1">
      <c r="A309" s="4"/>
    </row>
    <row r="310" spans="1:1" s="7" customFormat="1">
      <c r="A310" s="4"/>
    </row>
    <row r="311" spans="1:1" s="7" customFormat="1">
      <c r="A311" s="4"/>
    </row>
    <row r="312" spans="1:1" s="7" customFormat="1">
      <c r="A312" s="4"/>
    </row>
    <row r="313" spans="1:1" s="7" customFormat="1">
      <c r="A313" s="4"/>
    </row>
    <row r="314" spans="1:1" s="7" customFormat="1">
      <c r="A314" s="4"/>
    </row>
    <row r="315" spans="1:1" s="7" customFormat="1">
      <c r="A315" s="4"/>
    </row>
    <row r="316" spans="1:1" s="7" customFormat="1">
      <c r="A316" s="4"/>
    </row>
    <row r="317" spans="1:1" s="7" customFormat="1">
      <c r="A317" s="4"/>
    </row>
    <row r="318" spans="1:1" s="7" customFormat="1">
      <c r="A318" s="4"/>
    </row>
    <row r="319" spans="1:1" s="7" customFormat="1">
      <c r="A319" s="4"/>
    </row>
    <row r="320" spans="1:1" s="7" customFormat="1">
      <c r="A320" s="4"/>
    </row>
    <row r="321" spans="1:1" s="7" customFormat="1">
      <c r="A321" s="4"/>
    </row>
    <row r="322" spans="1:1" s="7" customFormat="1">
      <c r="A322" s="4"/>
    </row>
    <row r="323" spans="1:1" s="7" customFormat="1">
      <c r="A323" s="4"/>
    </row>
    <row r="324" spans="1:1" s="7" customFormat="1">
      <c r="A324" s="4"/>
    </row>
    <row r="325" spans="1:1" s="7" customFormat="1">
      <c r="A325" s="4"/>
    </row>
    <row r="326" spans="1:1" s="7" customFormat="1">
      <c r="A326" s="4"/>
    </row>
    <row r="327" spans="1:1" s="7" customFormat="1">
      <c r="A327" s="4"/>
    </row>
    <row r="328" spans="1:1" s="7" customFormat="1">
      <c r="A328" s="4"/>
    </row>
    <row r="329" spans="1:1" s="7" customFormat="1">
      <c r="A329" s="4"/>
    </row>
    <row r="330" spans="1:1" s="7" customFormat="1">
      <c r="A330" s="4"/>
    </row>
    <row r="331" spans="1:1" s="7" customFormat="1">
      <c r="A331" s="4"/>
    </row>
    <row r="332" spans="1:1" s="7" customFormat="1">
      <c r="A332" s="4"/>
    </row>
    <row r="333" spans="1:1" s="7" customFormat="1">
      <c r="A333" s="4"/>
    </row>
    <row r="334" spans="1:1" s="7" customFormat="1">
      <c r="A334" s="4"/>
    </row>
    <row r="335" spans="1:1" s="7" customFormat="1">
      <c r="A335" s="4"/>
    </row>
    <row r="336" spans="1:1" s="7" customFormat="1">
      <c r="A336" s="4"/>
    </row>
    <row r="337" spans="1:1" s="7" customFormat="1">
      <c r="A337" s="4"/>
    </row>
    <row r="338" spans="1:1" s="7" customFormat="1">
      <c r="A338" s="4"/>
    </row>
    <row r="339" spans="1:1" s="7" customFormat="1">
      <c r="A339" s="4"/>
    </row>
    <row r="340" spans="1:1" s="7" customFormat="1">
      <c r="A340" s="4"/>
    </row>
    <row r="341" spans="1:1" s="7" customFormat="1">
      <c r="A341" s="4"/>
    </row>
    <row r="342" spans="1:1" s="7" customFormat="1">
      <c r="A342" s="4"/>
    </row>
    <row r="343" spans="1:1" s="7" customFormat="1">
      <c r="A343" s="4"/>
    </row>
    <row r="344" spans="1:1" s="7" customFormat="1">
      <c r="A344" s="4"/>
    </row>
    <row r="345" spans="1:1" s="7" customFormat="1">
      <c r="A345" s="4"/>
    </row>
    <row r="346" spans="1:1" s="7" customFormat="1">
      <c r="A346" s="4"/>
    </row>
    <row r="347" spans="1:1" s="7" customFormat="1">
      <c r="A347" s="4"/>
    </row>
    <row r="348" spans="1:1" s="7" customFormat="1">
      <c r="A348" s="4"/>
    </row>
    <row r="349" spans="1:1" s="7" customFormat="1">
      <c r="A349" s="4"/>
    </row>
    <row r="350" spans="1:1" s="7" customFormat="1">
      <c r="A350" s="4"/>
    </row>
    <row r="351" spans="1:1" s="7" customFormat="1">
      <c r="A351" s="4"/>
    </row>
    <row r="352" spans="1:1" s="7" customFormat="1">
      <c r="A352" s="4"/>
    </row>
    <row r="353" spans="1:1" s="7" customFormat="1">
      <c r="A353" s="4"/>
    </row>
    <row r="354" spans="1:1" s="7" customFormat="1">
      <c r="A354" s="4"/>
    </row>
    <row r="355" spans="1:1" s="7" customFormat="1">
      <c r="A355" s="4"/>
    </row>
    <row r="356" spans="1:1" s="7" customFormat="1">
      <c r="A356" s="4"/>
    </row>
    <row r="357" spans="1:1" s="7" customFormat="1">
      <c r="A357" s="4"/>
    </row>
    <row r="358" spans="1:1" s="7" customFormat="1">
      <c r="A358" s="4"/>
    </row>
    <row r="359" spans="1:1" s="7" customFormat="1">
      <c r="A359" s="4"/>
    </row>
    <row r="360" spans="1:1" s="7" customFormat="1">
      <c r="A360" s="4"/>
    </row>
    <row r="361" spans="1:1" s="7" customFormat="1">
      <c r="A361" s="4"/>
    </row>
    <row r="362" spans="1:1" s="7" customFormat="1">
      <c r="A362" s="4"/>
    </row>
    <row r="363" spans="1:1" s="7" customFormat="1">
      <c r="A363" s="4"/>
    </row>
    <row r="364" spans="1:1" s="7" customFormat="1">
      <c r="A364" s="4"/>
    </row>
    <row r="365" spans="1:1" s="7" customFormat="1">
      <c r="A365" s="4"/>
    </row>
    <row r="366" spans="1:1" s="7" customFormat="1">
      <c r="A366" s="4"/>
    </row>
    <row r="367" spans="1:1" s="7" customFormat="1">
      <c r="A367" s="4"/>
    </row>
    <row r="368" spans="1:1" s="7" customFormat="1">
      <c r="A368" s="4"/>
    </row>
    <row r="369" spans="1:1" s="7" customFormat="1">
      <c r="A369" s="4"/>
    </row>
    <row r="370" spans="1:1" s="7" customFormat="1">
      <c r="A370" s="4"/>
    </row>
    <row r="371" spans="1:1" s="7" customFormat="1">
      <c r="A371" s="4"/>
    </row>
    <row r="372" spans="1:1" s="7" customFormat="1">
      <c r="A372" s="4"/>
    </row>
    <row r="373" spans="1:1" s="7" customFormat="1">
      <c r="A373" s="4"/>
    </row>
    <row r="374" spans="1:1" s="7" customFormat="1">
      <c r="A374" s="4"/>
    </row>
    <row r="375" spans="1:1" s="7" customFormat="1">
      <c r="A375" s="4"/>
    </row>
    <row r="376" spans="1:1" s="7" customFormat="1">
      <c r="A376" s="4"/>
    </row>
    <row r="377" spans="1:1" s="7" customFormat="1">
      <c r="A377" s="4"/>
    </row>
    <row r="378" spans="1:1" s="7" customFormat="1">
      <c r="A378" s="4"/>
    </row>
    <row r="379" spans="1:1" s="7" customFormat="1">
      <c r="A379" s="4"/>
    </row>
    <row r="380" spans="1:1" s="7" customFormat="1">
      <c r="A380" s="4"/>
    </row>
    <row r="381" spans="1:1" s="7" customFormat="1">
      <c r="A381" s="4"/>
    </row>
    <row r="382" spans="1:1" s="7" customFormat="1">
      <c r="A382" s="4"/>
    </row>
    <row r="383" spans="1:1" s="7" customFormat="1">
      <c r="A383" s="4"/>
    </row>
    <row r="384" spans="1:1" s="7" customFormat="1">
      <c r="A384" s="4"/>
    </row>
    <row r="385" spans="1:1" s="7" customFormat="1">
      <c r="A385" s="4"/>
    </row>
    <row r="386" spans="1:1" s="7" customFormat="1">
      <c r="A386" s="4"/>
    </row>
    <row r="387" spans="1:1" s="7" customFormat="1">
      <c r="A387" s="4"/>
    </row>
    <row r="388" spans="1:1" s="7" customFormat="1">
      <c r="A388" s="4"/>
    </row>
    <row r="389" spans="1:1" s="7" customFormat="1">
      <c r="A389" s="4"/>
    </row>
    <row r="390" spans="1:1" s="7" customFormat="1">
      <c r="A39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www.w3.org/XML/1998/namespace"/>
    <ds:schemaRef ds:uri="http://schemas.microsoft.com/office/2006/metadata/properties"/>
    <ds:schemaRef ds:uri="851b35d3-0456-4d6a-bc2f-da927e91d158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9483571-f922-4e8e-9c1c-26f0a225213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Marina</cp:lastModifiedBy>
  <dcterms:created xsi:type="dcterms:W3CDTF">2024-12-19T13:13:10Z</dcterms:created>
  <dcterms:modified xsi:type="dcterms:W3CDTF">2026-01-15T19:41:16Z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